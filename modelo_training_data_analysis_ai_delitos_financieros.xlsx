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ódulos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Progreso" sheetId="4" state="visible" r:id="rId4"/>
    <sheet xmlns:r="http://schemas.openxmlformats.org/officeDocument/2006/relationships" name="Checklists" sheetId="5" state="visible" r:id="rId5"/>
    <sheet xmlns:r="http://schemas.openxmlformats.org/officeDocument/2006/relationships" name="Recurs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66666"/>
      <sz val="10"/>
    </font>
    <font>
      <name val="Calibri"/>
      <b val="1"/>
      <color rgb="00FFFFFF"/>
      <sz val="9"/>
    </font>
    <font>
      <name val="Calibri"/>
      <b val="1"/>
      <color rgb="001F4E78"/>
      <sz val="20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FFFFFF"/>
      <sz val="14"/>
    </font>
    <font>
      <name val="Calibri"/>
      <b val="1"/>
      <color rgb="00FFFFFF"/>
      <sz val="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3F6F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9" fontId="4" fillId="0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9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Módulos por fase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'Progreso'!C11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'Progreso'!$B$12:$B$16</f>
            </numRef>
          </cat>
          <val>
            <numRef>
              <f>'Progreso'!$C$12:$C$16</f>
            </numRef>
          </val>
        </ser>
        <ser>
          <idx val="1"/>
          <order val="1"/>
          <tx>
            <strRef>
              <f>'Progreso'!D11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'Progreso'!$B$12:$B$16</f>
            </numRef>
          </cat>
          <val>
            <numRef>
              <f>'Progreso'!$D$12:$D$16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Módulos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8" customHeight="1"/>
    <row r="2">
      <c r="B2" s="1" t="inlineStr">
        <is>
          <t>Programa Training: Data Analysis / AI para Delitos Financieros</t>
        </is>
      </c>
    </row>
    <row r="3">
      <c r="B3" s="2" t="inlineStr">
        <is>
          <t>Modelo de seguimiento ejecutivo con timeline, progreso y checklists</t>
        </is>
      </c>
    </row>
    <row r="4"/>
    <row r="5">
      <c r="B5" s="3" t="inlineStr">
        <is>
          <t>Total módulos</t>
        </is>
      </c>
      <c r="C5" s="4" t="n"/>
      <c r="D5" s="3" t="inlineStr">
        <is>
          <t>Completados</t>
        </is>
      </c>
      <c r="E5" s="4" t="n"/>
      <c r="F5" s="3" t="inlineStr">
        <is>
          <t>En progreso</t>
        </is>
      </c>
      <c r="G5" s="4" t="n"/>
      <c r="H5" s="3" t="inlineStr">
        <is>
          <t>% avance</t>
        </is>
      </c>
      <c r="I5" s="4" t="n"/>
    </row>
    <row r="6">
      <c r="B6" s="5">
        <f>Módulos!B2</f>
        <v/>
      </c>
      <c r="C6" s="6" t="n"/>
      <c r="D6" s="5">
        <f>Módulos!C2</f>
        <v/>
      </c>
      <c r="E6" s="6" t="n"/>
      <c r="F6" s="5">
        <f>Módulos!D2</f>
        <v/>
      </c>
      <c r="G6" s="6" t="n"/>
      <c r="H6" s="7">
        <f>Módulos!E2</f>
        <v/>
      </c>
      <c r="I6" s="6" t="n"/>
    </row>
    <row r="7">
      <c r="B7" s="6" t="n"/>
      <c r="C7" s="6" t="n"/>
      <c r="D7" s="6" t="n"/>
      <c r="E7" s="6" t="n"/>
      <c r="F7" s="6" t="n"/>
      <c r="G7" s="6" t="n"/>
      <c r="H7" s="6" t="n"/>
      <c r="I7" s="6" t="n"/>
    </row>
    <row r="8"/>
    <row r="9"/>
    <row r="10">
      <c r="B10" s="8" t="inlineStr">
        <is>
          <t>Timeline Ejecutivo</t>
        </is>
      </c>
    </row>
    <row r="11">
      <c r="B11" s="9" t="inlineStr">
        <is>
          <t>Fase</t>
        </is>
      </c>
      <c r="C11" s="9" t="inlineStr">
        <is>
          <t>Inicio</t>
        </is>
      </c>
      <c r="D11" s="9" t="inlineStr">
        <is>
          <t>Fin</t>
        </is>
      </c>
      <c r="E11" s="9" t="inlineStr">
        <is>
          <t>Módulos</t>
        </is>
      </c>
      <c r="F11" s="9" t="inlineStr">
        <is>
          <t>Estado</t>
        </is>
      </c>
      <c r="G11" s="9" t="inlineStr">
        <is>
          <t>% avance</t>
        </is>
      </c>
    </row>
    <row r="12">
      <c r="B12" s="10" t="inlineStr">
        <is>
          <t>Fase 1: Fundamentos</t>
        </is>
      </c>
      <c r="C12" s="11" t="inlineStr">
        <is>
          <t>Abr 2026</t>
        </is>
      </c>
      <c r="D12" s="11" t="inlineStr">
        <is>
          <t>May 2026</t>
        </is>
      </c>
      <c r="E12" s="11" t="n">
        <v>5</v>
      </c>
      <c r="F12" s="11" t="inlineStr">
        <is>
          <t>En progreso</t>
        </is>
      </c>
      <c r="G12" s="12" t="n">
        <v>0.52</v>
      </c>
    </row>
    <row r="13">
      <c r="B13" s="13" t="inlineStr">
        <is>
          <t>Fase 2: Análisis de datos</t>
        </is>
      </c>
      <c r="C13" s="14" t="inlineStr">
        <is>
          <t>May 2026</t>
        </is>
      </c>
      <c r="D13" s="14" t="inlineStr">
        <is>
          <t>Jun 2026</t>
        </is>
      </c>
      <c r="E13" s="14" t="n">
        <v>4</v>
      </c>
      <c r="F13" s="14" t="inlineStr">
        <is>
          <t>Pendiente</t>
        </is>
      </c>
      <c r="G13" s="15" t="n">
        <v>0</v>
      </c>
    </row>
    <row r="14">
      <c r="B14" s="10" t="inlineStr">
        <is>
          <t>Fase 3: ML &amp; AI</t>
        </is>
      </c>
      <c r="C14" s="11" t="inlineStr">
        <is>
          <t>Jun 2026</t>
        </is>
      </c>
      <c r="D14" s="11" t="inlineStr">
        <is>
          <t>Ago 2026</t>
        </is>
      </c>
      <c r="E14" s="11" t="n">
        <v>5</v>
      </c>
      <c r="F14" s="11" t="inlineStr">
        <is>
          <t>Pendiente</t>
        </is>
      </c>
      <c r="G14" s="12" t="n">
        <v>0</v>
      </c>
    </row>
    <row r="15">
      <c r="B15" s="13" t="inlineStr">
        <is>
          <t>Fase 4: Delitos financieros</t>
        </is>
      </c>
      <c r="C15" s="14" t="inlineStr">
        <is>
          <t>Ago 2026</t>
        </is>
      </c>
      <c r="D15" s="14" t="inlineStr">
        <is>
          <t>Sep 2026</t>
        </is>
      </c>
      <c r="E15" s="14" t="n">
        <v>5</v>
      </c>
      <c r="F15" s="14" t="inlineStr">
        <is>
          <t>Pendiente</t>
        </is>
      </c>
      <c r="G15" s="15" t="n">
        <v>0</v>
      </c>
    </row>
    <row r="16">
      <c r="B16" s="10" t="inlineStr">
        <is>
          <t>Fase 5: Proyecto final</t>
        </is>
      </c>
      <c r="C16" s="11" t="inlineStr">
        <is>
          <t>Sep 2026</t>
        </is>
      </c>
      <c r="D16" s="11" t="inlineStr">
        <is>
          <t>Oct 2026</t>
        </is>
      </c>
      <c r="E16" s="11" t="n">
        <v>1</v>
      </c>
      <c r="F16" s="11" t="inlineStr">
        <is>
          <t>Pendiente</t>
        </is>
      </c>
      <c r="G16" s="12" t="n">
        <v>0</v>
      </c>
    </row>
    <row r="17"/>
    <row r="18"/>
    <row r="19">
      <c r="B19" s="8" t="inlineStr">
        <is>
          <t>Navegación</t>
        </is>
      </c>
    </row>
    <row r="20">
      <c r="B20" s="16" t="inlineStr">
        <is>
          <t>→ Módulos</t>
        </is>
      </c>
    </row>
    <row r="21">
      <c r="B21" s="16" t="inlineStr">
        <is>
          <t>→ Timeline</t>
        </is>
      </c>
    </row>
    <row r="22">
      <c r="B22" s="16" t="inlineStr">
        <is>
          <t>→ Progreso</t>
        </is>
      </c>
    </row>
    <row r="23">
      <c r="B23" s="16" t="inlineStr">
        <is>
          <t>→ Checklists</t>
        </is>
      </c>
    </row>
    <row r="24">
      <c r="B24" s="16" t="inlineStr">
        <is>
          <t>→ Recursos</t>
        </is>
      </c>
    </row>
  </sheetData>
  <mergeCells count="12">
    <mergeCell ref="B3:J3"/>
    <mergeCell ref="B10:J10"/>
    <mergeCell ref="H6:I7"/>
    <mergeCell ref="B5:C5"/>
    <mergeCell ref="F5:G5"/>
    <mergeCell ref="D5:E5"/>
    <mergeCell ref="D6:E7"/>
    <mergeCell ref="B6:C7"/>
    <mergeCell ref="H5:I5"/>
    <mergeCell ref="F6:G7"/>
    <mergeCell ref="B19:E19"/>
    <mergeCell ref="B2:J2"/>
  </mergeCells>
  <hyperlinks>
    <hyperlink ref="B20" location="Módulos!A1"/>
    <hyperlink ref="B21" location="Timeline!A1"/>
    <hyperlink ref="B22" location="Progreso!A1"/>
    <hyperlink ref="B23" location="Checklists!A1"/>
    <hyperlink ref="B24" location="Recursos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6" customWidth="1" min="3" max="3"/>
    <col width="16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/>
    <row r="2">
      <c r="B2" s="17" t="inlineStr">
        <is>
          <t>Módulos del programa</t>
        </is>
      </c>
    </row>
    <row r="3">
      <c r="B3" s="18">
        <f>COUNTA(C6:C25)</f>
        <v/>
      </c>
      <c r="C3" s="18">
        <f>COUNTIF(F6:F25,"Completado")</f>
        <v/>
      </c>
      <c r="D3" s="18">
        <f>COUNTIF(F6:F25,"En progreso")</f>
        <v/>
      </c>
      <c r="E3" s="19">
        <f>IFERROR(C3/B3,0)</f>
        <v/>
      </c>
    </row>
    <row r="4"/>
    <row r="5">
      <c r="B5" s="3" t="inlineStr">
        <is>
          <t>#</t>
        </is>
      </c>
      <c r="C5" s="3" t="inlineStr">
        <is>
          <t>Módulo</t>
        </is>
      </c>
      <c r="D5" s="3" t="inlineStr">
        <is>
          <t>Fase</t>
        </is>
      </c>
      <c r="E5" s="3" t="inlineStr">
        <is>
          <t>Semanas</t>
        </is>
      </c>
      <c r="F5" s="3" t="inlineStr">
        <is>
          <t>Estado</t>
        </is>
      </c>
      <c r="G5" s="3" t="inlineStr">
        <is>
          <t>Prioridad</t>
        </is>
      </c>
      <c r="H5" s="3" t="inlineStr">
        <is>
          <t>Créditos</t>
        </is>
      </c>
      <c r="I5" s="3" t="inlineStr">
        <is>
          <t>% avance</t>
        </is>
      </c>
    </row>
    <row r="6">
      <c r="B6" s="11" t="n">
        <v>1</v>
      </c>
      <c r="C6" s="10" t="inlineStr">
        <is>
          <t>Fundamentos Python para análisis</t>
        </is>
      </c>
      <c r="D6" s="11" t="inlineStr">
        <is>
          <t>Fase 1</t>
        </is>
      </c>
      <c r="E6" s="11" t="inlineStr">
        <is>
          <t>1-2</t>
        </is>
      </c>
      <c r="F6" s="11" t="inlineStr">
        <is>
          <t>Completado</t>
        </is>
      </c>
      <c r="G6" s="11" t="inlineStr">
        <is>
          <t>Alta</t>
        </is>
      </c>
      <c r="H6" s="11" t="n">
        <v>8</v>
      </c>
      <c r="I6" s="12" t="n">
        <v>1</v>
      </c>
    </row>
    <row r="7">
      <c r="B7" s="14" t="n">
        <v>2</v>
      </c>
      <c r="C7" s="13" t="inlineStr">
        <is>
          <t>Estadística descriptiva y EDA</t>
        </is>
      </c>
      <c r="D7" s="14" t="inlineStr">
        <is>
          <t>Fase 1</t>
        </is>
      </c>
      <c r="E7" s="14" t="inlineStr">
        <is>
          <t>2-3</t>
        </is>
      </c>
      <c r="F7" s="14" t="inlineStr">
        <is>
          <t>Completado</t>
        </is>
      </c>
      <c r="G7" s="14" t="inlineStr">
        <is>
          <t>Alta</t>
        </is>
      </c>
      <c r="H7" s="14" t="n">
        <v>6</v>
      </c>
      <c r="I7" s="15" t="n">
        <v>1</v>
      </c>
    </row>
    <row r="8">
      <c r="B8" s="11" t="n">
        <v>3</v>
      </c>
      <c r="C8" s="10" t="inlineStr">
        <is>
          <t>Pandas y NumPy</t>
        </is>
      </c>
      <c r="D8" s="11" t="inlineStr">
        <is>
          <t>Fase 1</t>
        </is>
      </c>
      <c r="E8" s="11" t="inlineStr">
        <is>
          <t>3-4</t>
        </is>
      </c>
      <c r="F8" s="11" t="inlineStr">
        <is>
          <t>En progreso</t>
        </is>
      </c>
      <c r="G8" s="11" t="inlineStr">
        <is>
          <t>Alta</t>
        </is>
      </c>
      <c r="H8" s="11" t="n">
        <v>8</v>
      </c>
      <c r="I8" s="12" t="n">
        <v>0.6</v>
      </c>
    </row>
    <row r="9">
      <c r="B9" s="14" t="n">
        <v>4</v>
      </c>
      <c r="C9" s="13" t="inlineStr">
        <is>
          <t>SQL para analistas</t>
        </is>
      </c>
      <c r="D9" s="14" t="inlineStr">
        <is>
          <t>Fase 1</t>
        </is>
      </c>
      <c r="E9" s="14" t="inlineStr">
        <is>
          <t>4-5</t>
        </is>
      </c>
      <c r="F9" s="14" t="inlineStr">
        <is>
          <t>Pendiente</t>
        </is>
      </c>
      <c r="G9" s="14" t="inlineStr">
        <is>
          <t>Media</t>
        </is>
      </c>
      <c r="H9" s="14" t="n">
        <v>6</v>
      </c>
      <c r="I9" s="15" t="n">
        <v>0</v>
      </c>
    </row>
    <row r="10">
      <c r="B10" s="11" t="n">
        <v>5</v>
      </c>
      <c r="C10" s="10" t="inlineStr">
        <is>
          <t>Visualización con Python</t>
        </is>
      </c>
      <c r="D10" s="11" t="inlineStr">
        <is>
          <t>Fase 1</t>
        </is>
      </c>
      <c r="E10" s="11" t="inlineStr">
        <is>
          <t>5</t>
        </is>
      </c>
      <c r="F10" s="11" t="inlineStr">
        <is>
          <t>Pendiente</t>
        </is>
      </c>
      <c r="G10" s="11" t="inlineStr">
        <is>
          <t>Media</t>
        </is>
      </c>
      <c r="H10" s="11" t="n">
        <v>4</v>
      </c>
      <c r="I10" s="12" t="n">
        <v>0</v>
      </c>
    </row>
    <row r="11">
      <c r="B11" s="14" t="n">
        <v>6</v>
      </c>
      <c r="C11" s="13" t="inlineStr">
        <is>
          <t>Power BI y dashboards</t>
        </is>
      </c>
      <c r="D11" s="14" t="inlineStr">
        <is>
          <t>Fase 2</t>
        </is>
      </c>
      <c r="E11" s="14" t="inlineStr">
        <is>
          <t>6-7</t>
        </is>
      </c>
      <c r="F11" s="14" t="inlineStr">
        <is>
          <t>Pendiente</t>
        </is>
      </c>
      <c r="G11" s="14" t="inlineStr">
        <is>
          <t>Alta</t>
        </is>
      </c>
      <c r="H11" s="14" t="n">
        <v>8</v>
      </c>
      <c r="I11" s="15" t="n">
        <v>0</v>
      </c>
    </row>
    <row r="12">
      <c r="B12" s="11" t="n">
        <v>7</v>
      </c>
      <c r="C12" s="10" t="inlineStr">
        <is>
          <t>Excel avanzado y Power Query</t>
        </is>
      </c>
      <c r="D12" s="11" t="inlineStr">
        <is>
          <t>Fase 2</t>
        </is>
      </c>
      <c r="E12" s="11" t="inlineStr">
        <is>
          <t>7</t>
        </is>
      </c>
      <c r="F12" s="11" t="inlineStr">
        <is>
          <t>Pendiente</t>
        </is>
      </c>
      <c r="G12" s="11" t="inlineStr">
        <is>
          <t>Media</t>
        </is>
      </c>
      <c r="H12" s="11" t="n">
        <v>4</v>
      </c>
      <c r="I12" s="12" t="n">
        <v>0</v>
      </c>
    </row>
    <row r="13">
      <c r="B13" s="14" t="n">
        <v>8</v>
      </c>
      <c r="C13" s="13" t="inlineStr">
        <is>
          <t>Series temporales</t>
        </is>
      </c>
      <c r="D13" s="14" t="inlineStr">
        <is>
          <t>Fase 2</t>
        </is>
      </c>
      <c r="E13" s="14" t="inlineStr">
        <is>
          <t>8-9</t>
        </is>
      </c>
      <c r="F13" s="14" t="inlineStr">
        <is>
          <t>Pendiente</t>
        </is>
      </c>
      <c r="G13" s="14" t="inlineStr">
        <is>
          <t>Alta</t>
        </is>
      </c>
      <c r="H13" s="14" t="n">
        <v>8</v>
      </c>
      <c r="I13" s="15" t="n">
        <v>0</v>
      </c>
    </row>
    <row r="14">
      <c r="B14" s="11" t="n">
        <v>9</v>
      </c>
      <c r="C14" s="10" t="inlineStr">
        <is>
          <t>Feature engineering financiero</t>
        </is>
      </c>
      <c r="D14" s="11" t="inlineStr">
        <is>
          <t>Fase 2</t>
        </is>
      </c>
      <c r="E14" s="11" t="inlineStr">
        <is>
          <t>9-10</t>
        </is>
      </c>
      <c r="F14" s="11" t="inlineStr">
        <is>
          <t>Pendiente</t>
        </is>
      </c>
      <c r="G14" s="11" t="inlineStr">
        <is>
          <t>Media</t>
        </is>
      </c>
      <c r="H14" s="11" t="n">
        <v>6</v>
      </c>
      <c r="I14" s="12" t="n">
        <v>0</v>
      </c>
    </row>
    <row r="15">
      <c r="B15" s="14" t="n">
        <v>10</v>
      </c>
      <c r="C15" s="13" t="inlineStr">
        <is>
          <t>Machine learning supervisado</t>
        </is>
      </c>
      <c r="D15" s="14" t="inlineStr">
        <is>
          <t>Fase 3</t>
        </is>
      </c>
      <c r="E15" s="14" t="inlineStr">
        <is>
          <t>11-12</t>
        </is>
      </c>
      <c r="F15" s="14" t="inlineStr">
        <is>
          <t>Pendiente</t>
        </is>
      </c>
      <c r="G15" s="14" t="inlineStr">
        <is>
          <t>Alta</t>
        </is>
      </c>
      <c r="H15" s="14" t="n">
        <v>8</v>
      </c>
      <c r="I15" s="15" t="n">
        <v>0</v>
      </c>
    </row>
    <row r="16">
      <c r="B16" s="11" t="n">
        <v>11</v>
      </c>
      <c r="C16" s="10" t="inlineStr">
        <is>
          <t>ML no supervisado</t>
        </is>
      </c>
      <c r="D16" s="11" t="inlineStr">
        <is>
          <t>Fase 3</t>
        </is>
      </c>
      <c r="E16" s="11" t="inlineStr">
        <is>
          <t>12-13</t>
        </is>
      </c>
      <c r="F16" s="11" t="inlineStr">
        <is>
          <t>Pendiente</t>
        </is>
      </c>
      <c r="G16" s="11" t="inlineStr">
        <is>
          <t>Alta</t>
        </is>
      </c>
      <c r="H16" s="11" t="n">
        <v>6</v>
      </c>
      <c r="I16" s="12" t="n">
        <v>0</v>
      </c>
    </row>
    <row r="17">
      <c r="B17" s="14" t="n">
        <v>12</v>
      </c>
      <c r="C17" s="13" t="inlineStr">
        <is>
          <t>Redes neuronales</t>
        </is>
      </c>
      <c r="D17" s="14" t="inlineStr">
        <is>
          <t>Fase 3</t>
        </is>
      </c>
      <c r="E17" s="14" t="inlineStr">
        <is>
          <t>13-14</t>
        </is>
      </c>
      <c r="F17" s="14" t="inlineStr">
        <is>
          <t>Pendiente</t>
        </is>
      </c>
      <c r="G17" s="14" t="inlineStr">
        <is>
          <t>Media</t>
        </is>
      </c>
      <c r="H17" s="14" t="n">
        <v>8</v>
      </c>
      <c r="I17" s="15" t="n">
        <v>0</v>
      </c>
    </row>
    <row r="18">
      <c r="B18" s="11" t="n">
        <v>13</v>
      </c>
      <c r="C18" s="10" t="inlineStr">
        <is>
          <t>NLP para texto financiero</t>
        </is>
      </c>
      <c r="D18" s="11" t="inlineStr">
        <is>
          <t>Fase 3</t>
        </is>
      </c>
      <c r="E18" s="11" t="inlineStr">
        <is>
          <t>14-15</t>
        </is>
      </c>
      <c r="F18" s="11" t="inlineStr">
        <is>
          <t>Pendiente</t>
        </is>
      </c>
      <c r="G18" s="11" t="inlineStr">
        <is>
          <t>Alta</t>
        </is>
      </c>
      <c r="H18" s="11" t="n">
        <v>8</v>
      </c>
      <c r="I18" s="12" t="n">
        <v>0</v>
      </c>
    </row>
    <row r="19">
      <c r="B19" s="14" t="n">
        <v>14</v>
      </c>
      <c r="C19" s="13" t="inlineStr">
        <is>
          <t>LLMs y Generative AI</t>
        </is>
      </c>
      <c r="D19" s="14" t="inlineStr">
        <is>
          <t>Fase 3</t>
        </is>
      </c>
      <c r="E19" s="14" t="inlineStr">
        <is>
          <t>15-16</t>
        </is>
      </c>
      <c r="F19" s="14" t="inlineStr">
        <is>
          <t>Pendiente</t>
        </is>
      </c>
      <c r="G19" s="14" t="inlineStr">
        <is>
          <t>Alta</t>
        </is>
      </c>
      <c r="H19" s="14" t="n">
        <v>10</v>
      </c>
      <c r="I19" s="15" t="n">
        <v>0</v>
      </c>
    </row>
    <row r="20">
      <c r="B20" s="11" t="n">
        <v>15</v>
      </c>
      <c r="C20" s="10" t="inlineStr">
        <is>
          <t>Regulación AML/KYC</t>
        </is>
      </c>
      <c r="D20" s="11" t="inlineStr">
        <is>
          <t>Fase 4</t>
        </is>
      </c>
      <c r="E20" s="11" t="inlineStr">
        <is>
          <t>17</t>
        </is>
      </c>
      <c r="F20" s="11" t="inlineStr">
        <is>
          <t>Pendiente</t>
        </is>
      </c>
      <c r="G20" s="11" t="inlineStr">
        <is>
          <t>Alta</t>
        </is>
      </c>
      <c r="H20" s="11" t="n">
        <v>6</v>
      </c>
      <c r="I20" s="12" t="n">
        <v>0</v>
      </c>
    </row>
    <row r="21">
      <c r="B21" s="14" t="n">
        <v>16</v>
      </c>
      <c r="C21" s="13" t="inlineStr">
        <is>
          <t>Detección de fraude con ML</t>
        </is>
      </c>
      <c r="D21" s="14" t="inlineStr">
        <is>
          <t>Fase 4</t>
        </is>
      </c>
      <c r="E21" s="14" t="inlineStr">
        <is>
          <t>17-18</t>
        </is>
      </c>
      <c r="F21" s="14" t="inlineStr">
        <is>
          <t>Pendiente</t>
        </is>
      </c>
      <c r="G21" s="14" t="inlineStr">
        <is>
          <t>Alta</t>
        </is>
      </c>
      <c r="H21" s="14" t="n">
        <v>8</v>
      </c>
      <c r="I21" s="15" t="n">
        <v>0</v>
      </c>
    </row>
    <row r="22">
      <c r="B22" s="11" t="n">
        <v>17</v>
      </c>
      <c r="C22" s="10" t="inlineStr">
        <is>
          <t>Graph analytics</t>
        </is>
      </c>
      <c r="D22" s="11" t="inlineStr">
        <is>
          <t>Fase 4</t>
        </is>
      </c>
      <c r="E22" s="11" t="inlineStr">
        <is>
          <t>18-19</t>
        </is>
      </c>
      <c r="F22" s="11" t="inlineStr">
        <is>
          <t>Pendiente</t>
        </is>
      </c>
      <c r="G22" s="11" t="inlineStr">
        <is>
          <t>Media</t>
        </is>
      </c>
      <c r="H22" s="11" t="n">
        <v>6</v>
      </c>
      <c r="I22" s="12" t="n">
        <v>0</v>
      </c>
    </row>
    <row r="23">
      <c r="B23" s="14" t="n">
        <v>18</v>
      </c>
      <c r="C23" s="13" t="inlineStr">
        <is>
          <t>Scoring y risk rating</t>
        </is>
      </c>
      <c r="D23" s="14" t="inlineStr">
        <is>
          <t>Fase 4</t>
        </is>
      </c>
      <c r="E23" s="14" t="inlineStr">
        <is>
          <t>19-20</t>
        </is>
      </c>
      <c r="F23" s="14" t="inlineStr">
        <is>
          <t>Pendiente</t>
        </is>
      </c>
      <c r="G23" s="14" t="inlineStr">
        <is>
          <t>Alta</t>
        </is>
      </c>
      <c r="H23" s="14" t="n">
        <v>8</v>
      </c>
      <c r="I23" s="15" t="n">
        <v>0</v>
      </c>
    </row>
    <row r="24">
      <c r="B24" s="11" t="n">
        <v>19</v>
      </c>
      <c r="C24" s="10" t="inlineStr">
        <is>
          <t>Explainability / XAI</t>
        </is>
      </c>
      <c r="D24" s="11" t="inlineStr">
        <is>
          <t>Fase 4</t>
        </is>
      </c>
      <c r="E24" s="11" t="inlineStr">
        <is>
          <t>20</t>
        </is>
      </c>
      <c r="F24" s="11" t="inlineStr">
        <is>
          <t>Pendiente</t>
        </is>
      </c>
      <c r="G24" s="11" t="inlineStr">
        <is>
          <t>Media</t>
        </is>
      </c>
      <c r="H24" s="11" t="n">
        <v>4</v>
      </c>
      <c r="I24" s="12" t="n">
        <v>0</v>
      </c>
    </row>
    <row r="25">
      <c r="B25" s="14" t="n">
        <v>20</v>
      </c>
      <c r="C25" s="13" t="inlineStr">
        <is>
          <t>Proyecto final AML con AI</t>
        </is>
      </c>
      <c r="D25" s="14" t="inlineStr">
        <is>
          <t>Fase 5</t>
        </is>
      </c>
      <c r="E25" s="14" t="inlineStr">
        <is>
          <t>21-24</t>
        </is>
      </c>
      <c r="F25" s="14" t="inlineStr">
        <is>
          <t>Pendiente</t>
        </is>
      </c>
      <c r="G25" s="14" t="inlineStr">
        <is>
          <t>Alta</t>
        </is>
      </c>
      <c r="H25" s="14" t="n">
        <v>12</v>
      </c>
      <c r="I25" s="15" t="n">
        <v>0</v>
      </c>
    </row>
  </sheetData>
  <mergeCells count="1">
    <mergeCell ref="B2:I2"/>
  </mergeCells>
  <conditionalFormatting sqref="F6:F25">
    <cfRule type="expression" priority="1" dxfId="0">
      <formula>$F6="Completado"</formula>
    </cfRule>
    <cfRule type="expression" priority="2" dxfId="1">
      <formula>$F6="En progreso"</formula>
    </cfRule>
  </conditionalFormatting>
  <conditionalFormatting sqref="I6:I25">
    <cfRule type="dataBar" priority="3">
      <dataBar>
        <cfvo type="min"/>
        <cfvo type="max"/>
        <color rgb="005B9BD5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2" customWidth="1" min="3" max="3"/>
    <col width="12" customWidth="1" min="4" max="4"/>
    <col width="12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</cols>
  <sheetData>
    <row r="1"/>
    <row r="2">
      <c r="B2" s="20" t="inlineStr">
        <is>
          <t>Timeline detallado (24 semanas)</t>
        </is>
      </c>
    </row>
    <row r="3"/>
    <row r="4">
      <c r="B4" s="3" t="inlineStr">
        <is>
          <t>#</t>
        </is>
      </c>
      <c r="C4" s="3" t="inlineStr">
        <is>
          <t>Módulo</t>
        </is>
      </c>
      <c r="D4" s="3" t="inlineStr">
        <is>
          <t>Inicio</t>
        </is>
      </c>
      <c r="E4" s="3" t="inlineStr">
        <is>
          <t>Fin</t>
        </is>
      </c>
      <c r="F4" s="21" t="inlineStr">
        <is>
          <t>S1</t>
        </is>
      </c>
      <c r="G4" s="21" t="inlineStr">
        <is>
          <t>S2</t>
        </is>
      </c>
      <c r="H4" s="21" t="inlineStr">
        <is>
          <t>S3</t>
        </is>
      </c>
      <c r="I4" s="21" t="inlineStr">
        <is>
          <t>S4</t>
        </is>
      </c>
      <c r="J4" s="21" t="inlineStr">
        <is>
          <t>S5</t>
        </is>
      </c>
      <c r="K4" s="21" t="inlineStr">
        <is>
          <t>S6</t>
        </is>
      </c>
      <c r="L4" s="21" t="inlineStr">
        <is>
          <t>S7</t>
        </is>
      </c>
      <c r="M4" s="21" t="inlineStr">
        <is>
          <t>S8</t>
        </is>
      </c>
      <c r="N4" s="21" t="inlineStr">
        <is>
          <t>S9</t>
        </is>
      </c>
      <c r="O4" s="21" t="inlineStr">
        <is>
          <t>S10</t>
        </is>
      </c>
      <c r="P4" s="21" t="inlineStr">
        <is>
          <t>S11</t>
        </is>
      </c>
      <c r="Q4" s="21" t="inlineStr">
        <is>
          <t>S12</t>
        </is>
      </c>
      <c r="R4" s="21" t="inlineStr">
        <is>
          <t>S13</t>
        </is>
      </c>
      <c r="S4" s="21" t="inlineStr">
        <is>
          <t>S14</t>
        </is>
      </c>
      <c r="T4" s="21" t="inlineStr">
        <is>
          <t>S15</t>
        </is>
      </c>
      <c r="U4" s="21" t="inlineStr">
        <is>
          <t>S16</t>
        </is>
      </c>
      <c r="V4" s="21" t="inlineStr">
        <is>
          <t>S17</t>
        </is>
      </c>
      <c r="W4" s="21" t="inlineStr">
        <is>
          <t>S18</t>
        </is>
      </c>
      <c r="X4" s="21" t="inlineStr">
        <is>
          <t>S19</t>
        </is>
      </c>
      <c r="Y4" s="21" t="inlineStr">
        <is>
          <t>S20</t>
        </is>
      </c>
    </row>
    <row r="5">
      <c r="B5" s="11" t="n">
        <v>1</v>
      </c>
      <c r="C5" s="10" t="inlineStr">
        <is>
          <t>Fundamentos Python para análisis</t>
        </is>
      </c>
      <c r="D5" s="11" t="n">
        <v>1</v>
      </c>
      <c r="E5" s="11" t="n">
        <v>2</v>
      </c>
      <c r="F5" s="22" t="n"/>
      <c r="G5" s="22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</row>
    <row r="6">
      <c r="B6" s="14" t="n">
        <v>2</v>
      </c>
      <c r="C6" s="13" t="inlineStr">
        <is>
          <t>Estadística descriptiva y EDA</t>
        </is>
      </c>
      <c r="D6" s="14" t="n">
        <v>2</v>
      </c>
      <c r="E6" s="14" t="n">
        <v>3</v>
      </c>
      <c r="F6" s="23" t="n"/>
      <c r="G6" s="22" t="n"/>
      <c r="H6" s="22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</row>
    <row r="7">
      <c r="B7" s="11" t="n">
        <v>3</v>
      </c>
      <c r="C7" s="10" t="inlineStr">
        <is>
          <t>Pandas y NumPy</t>
        </is>
      </c>
      <c r="D7" s="11" t="n">
        <v>3</v>
      </c>
      <c r="E7" s="11" t="n">
        <v>4</v>
      </c>
      <c r="F7" s="23" t="n"/>
      <c r="G7" s="23" t="n"/>
      <c r="H7" s="22" t="n"/>
      <c r="I7" s="22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</row>
    <row r="8">
      <c r="B8" s="14" t="n">
        <v>4</v>
      </c>
      <c r="C8" s="13" t="inlineStr">
        <is>
          <t>SQL para analistas</t>
        </is>
      </c>
      <c r="D8" s="14" t="n">
        <v>4</v>
      </c>
      <c r="E8" s="14" t="n">
        <v>5</v>
      </c>
      <c r="F8" s="23" t="n"/>
      <c r="G8" s="23" t="n"/>
      <c r="H8" s="23" t="n"/>
      <c r="I8" s="22" t="n"/>
      <c r="J8" s="22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</row>
    <row r="9">
      <c r="B9" s="11" t="n">
        <v>5</v>
      </c>
      <c r="C9" s="10" t="inlineStr">
        <is>
          <t>Visualización con Python</t>
        </is>
      </c>
      <c r="D9" s="11" t="n">
        <v>5</v>
      </c>
      <c r="E9" s="11" t="n">
        <v>5</v>
      </c>
      <c r="F9" s="23" t="n"/>
      <c r="G9" s="23" t="n"/>
      <c r="H9" s="23" t="n"/>
      <c r="I9" s="23" t="n"/>
      <c r="J9" s="22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</row>
    <row r="10">
      <c r="B10" s="14" t="n">
        <v>6</v>
      </c>
      <c r="C10" s="13" t="inlineStr">
        <is>
          <t>Power BI y dashboards</t>
        </is>
      </c>
      <c r="D10" s="14" t="n">
        <v>6</v>
      </c>
      <c r="E10" s="14" t="n">
        <v>7</v>
      </c>
      <c r="F10" s="23" t="n"/>
      <c r="G10" s="23" t="n"/>
      <c r="H10" s="23" t="n"/>
      <c r="I10" s="23" t="n"/>
      <c r="J10" s="23" t="n"/>
      <c r="K10" s="22" t="n"/>
      <c r="L10" s="22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</row>
    <row r="11">
      <c r="B11" s="11" t="n">
        <v>7</v>
      </c>
      <c r="C11" s="10" t="inlineStr">
        <is>
          <t>Excel avanzado y Power Query</t>
        </is>
      </c>
      <c r="D11" s="11" t="n">
        <v>7</v>
      </c>
      <c r="E11" s="11" t="n">
        <v>7</v>
      </c>
      <c r="F11" s="23" t="n"/>
      <c r="G11" s="23" t="n"/>
      <c r="H11" s="23" t="n"/>
      <c r="I11" s="23" t="n"/>
      <c r="J11" s="23" t="n"/>
      <c r="K11" s="23" t="n"/>
      <c r="L11" s="22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</row>
    <row r="12">
      <c r="B12" s="14" t="n">
        <v>8</v>
      </c>
      <c r="C12" s="13" t="inlineStr">
        <is>
          <t>Series temporales</t>
        </is>
      </c>
      <c r="D12" s="14" t="n">
        <v>8</v>
      </c>
      <c r="E12" s="14" t="n">
        <v>9</v>
      </c>
      <c r="F12" s="23" t="n"/>
      <c r="G12" s="23" t="n"/>
      <c r="H12" s="23" t="n"/>
      <c r="I12" s="23" t="n"/>
      <c r="J12" s="23" t="n"/>
      <c r="K12" s="23" t="n"/>
      <c r="L12" s="23" t="n"/>
      <c r="M12" s="22" t="n"/>
      <c r="N12" s="22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</row>
    <row r="13">
      <c r="B13" s="11" t="n">
        <v>9</v>
      </c>
      <c r="C13" s="10" t="inlineStr">
        <is>
          <t>Feature engineering financiero</t>
        </is>
      </c>
      <c r="D13" s="11" t="n">
        <v>9</v>
      </c>
      <c r="E13" s="11" t="n">
        <v>10</v>
      </c>
      <c r="F13" s="23" t="n"/>
      <c r="G13" s="23" t="n"/>
      <c r="H13" s="23" t="n"/>
      <c r="I13" s="23" t="n"/>
      <c r="J13" s="23" t="n"/>
      <c r="K13" s="23" t="n"/>
      <c r="L13" s="23" t="n"/>
      <c r="M13" s="23" t="n"/>
      <c r="N13" s="22" t="n"/>
      <c r="O13" s="22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</row>
    <row r="14">
      <c r="B14" s="14" t="n">
        <v>10</v>
      </c>
      <c r="C14" s="13" t="inlineStr">
        <is>
          <t>Machine learning supervisado</t>
        </is>
      </c>
      <c r="D14" s="14" t="n">
        <v>11</v>
      </c>
      <c r="E14" s="14" t="n">
        <v>12</v>
      </c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2" t="n"/>
      <c r="Q14" s="22" t="n"/>
      <c r="R14" s="23" t="n"/>
      <c r="S14" s="23" t="n"/>
      <c r="T14" s="23" t="n"/>
      <c r="U14" s="23" t="n"/>
      <c r="V14" s="23" t="n"/>
      <c r="W14" s="23" t="n"/>
      <c r="X14" s="23" t="n"/>
      <c r="Y14" s="23" t="n"/>
    </row>
    <row r="15">
      <c r="B15" s="11" t="n">
        <v>11</v>
      </c>
      <c r="C15" s="10" t="inlineStr">
        <is>
          <t>ML no supervisado</t>
        </is>
      </c>
      <c r="D15" s="11" t="n">
        <v>12</v>
      </c>
      <c r="E15" s="11" t="n">
        <v>13</v>
      </c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2" t="n"/>
      <c r="R15" s="22" t="n"/>
      <c r="S15" s="23" t="n"/>
      <c r="T15" s="23" t="n"/>
      <c r="U15" s="23" t="n"/>
      <c r="V15" s="23" t="n"/>
      <c r="W15" s="23" t="n"/>
      <c r="X15" s="23" t="n"/>
      <c r="Y15" s="23" t="n"/>
    </row>
    <row r="16">
      <c r="B16" s="14" t="n">
        <v>12</v>
      </c>
      <c r="C16" s="13" t="inlineStr">
        <is>
          <t>Redes neuronales</t>
        </is>
      </c>
      <c r="D16" s="14" t="n">
        <v>13</v>
      </c>
      <c r="E16" s="14" t="n">
        <v>14</v>
      </c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2" t="n"/>
      <c r="S16" s="22" t="n"/>
      <c r="T16" s="23" t="n"/>
      <c r="U16" s="23" t="n"/>
      <c r="V16" s="23" t="n"/>
      <c r="W16" s="23" t="n"/>
      <c r="X16" s="23" t="n"/>
      <c r="Y16" s="23" t="n"/>
    </row>
    <row r="17">
      <c r="B17" s="11" t="n">
        <v>13</v>
      </c>
      <c r="C17" s="10" t="inlineStr">
        <is>
          <t>NLP para texto financiero</t>
        </is>
      </c>
      <c r="D17" s="11" t="n">
        <v>14</v>
      </c>
      <c r="E17" s="11" t="n">
        <v>15</v>
      </c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2" t="n"/>
      <c r="T17" s="22" t="n"/>
      <c r="U17" s="23" t="n"/>
      <c r="V17" s="23" t="n"/>
      <c r="W17" s="23" t="n"/>
      <c r="X17" s="23" t="n"/>
      <c r="Y17" s="23" t="n"/>
    </row>
    <row r="18">
      <c r="B18" s="14" t="n">
        <v>14</v>
      </c>
      <c r="C18" s="13" t="inlineStr">
        <is>
          <t>LLMs y Generative AI</t>
        </is>
      </c>
      <c r="D18" s="14" t="n">
        <v>15</v>
      </c>
      <c r="E18" s="14" t="n">
        <v>16</v>
      </c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2" t="n"/>
      <c r="U18" s="22" t="n"/>
      <c r="V18" s="23" t="n"/>
      <c r="W18" s="23" t="n"/>
      <c r="X18" s="23" t="n"/>
      <c r="Y18" s="23" t="n"/>
    </row>
    <row r="19">
      <c r="B19" s="11" t="n">
        <v>15</v>
      </c>
      <c r="C19" s="10" t="inlineStr">
        <is>
          <t>Regulación AML/KYC</t>
        </is>
      </c>
      <c r="D19" s="11" t="n">
        <v>17</v>
      </c>
      <c r="E19" s="11" t="n">
        <v>17</v>
      </c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2" t="n"/>
      <c r="W19" s="23" t="n"/>
      <c r="X19" s="23" t="n"/>
      <c r="Y19" s="23" t="n"/>
    </row>
    <row r="20">
      <c r="B20" s="14" t="n">
        <v>16</v>
      </c>
      <c r="C20" s="13" t="inlineStr">
        <is>
          <t>Detección de fraude con ML</t>
        </is>
      </c>
      <c r="D20" s="14" t="n">
        <v>17</v>
      </c>
      <c r="E20" s="14" t="n">
        <v>18</v>
      </c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2" t="n"/>
      <c r="W20" s="22" t="n"/>
      <c r="X20" s="23" t="n"/>
      <c r="Y20" s="23" t="n"/>
    </row>
    <row r="21">
      <c r="B21" s="11" t="n">
        <v>17</v>
      </c>
      <c r="C21" s="10" t="inlineStr">
        <is>
          <t>Graph analytics</t>
        </is>
      </c>
      <c r="D21" s="11" t="n">
        <v>18</v>
      </c>
      <c r="E21" s="11" t="n">
        <v>19</v>
      </c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2" t="n"/>
      <c r="X21" s="22" t="n"/>
      <c r="Y21" s="23" t="n"/>
    </row>
    <row r="22">
      <c r="B22" s="14" t="n">
        <v>18</v>
      </c>
      <c r="C22" s="13" t="inlineStr">
        <is>
          <t>Scoring y risk rating</t>
        </is>
      </c>
      <c r="D22" s="14" t="n">
        <v>19</v>
      </c>
      <c r="E22" s="14" t="n">
        <v>20</v>
      </c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2" t="n"/>
      <c r="Y22" s="22" t="n"/>
    </row>
    <row r="23">
      <c r="B23" s="11" t="n">
        <v>19</v>
      </c>
      <c r="C23" s="10" t="inlineStr">
        <is>
          <t>Explainability / XAI</t>
        </is>
      </c>
      <c r="D23" s="11" t="n">
        <v>20</v>
      </c>
      <c r="E23" s="11" t="n">
        <v>20</v>
      </c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2" t="n"/>
    </row>
    <row r="24">
      <c r="B24" s="14" t="n">
        <v>20</v>
      </c>
      <c r="C24" s="13" t="inlineStr">
        <is>
          <t>Proyecto final AML con AI</t>
        </is>
      </c>
      <c r="D24" s="14" t="n">
        <v>21</v>
      </c>
      <c r="E24" s="14" t="n">
        <v>24</v>
      </c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</row>
  </sheetData>
  <mergeCells count="1">
    <mergeCell ref="B2:Y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/>
    <row r="2">
      <c r="B2" s="20" t="inlineStr">
        <is>
          <t>Seguimiento de progreso</t>
        </is>
      </c>
    </row>
    <row r="3"/>
    <row r="4">
      <c r="B4" s="3" t="inlineStr">
        <is>
          <t>KPI</t>
        </is>
      </c>
      <c r="C4" s="3" t="inlineStr">
        <is>
          <t>Meta</t>
        </is>
      </c>
      <c r="D4" s="3" t="inlineStr">
        <is>
          <t>Actual</t>
        </is>
      </c>
      <c r="E4" s="3" t="inlineStr">
        <is>
          <t>% logro</t>
        </is>
      </c>
      <c r="F4" s="3" t="inlineStr">
        <is>
          <t>Estado</t>
        </is>
      </c>
      <c r="G4" s="3" t="inlineStr">
        <is>
          <t>Observación</t>
        </is>
      </c>
    </row>
    <row r="5">
      <c r="B5" s="10" t="inlineStr">
        <is>
          <t>Módulos completados</t>
        </is>
      </c>
      <c r="C5" s="11" t="n">
        <v>20</v>
      </c>
      <c r="D5" s="11">
        <f>Módulos!C3</f>
        <v/>
      </c>
      <c r="E5" s="12">
        <f>C5/B5</f>
        <v/>
      </c>
      <c r="F5" s="11">
        <f>IF(D5&gt;=0.8,"Verde",IF(D5&gt;=0.5,"Ámbar","Rojo"))</f>
        <v/>
      </c>
      <c r="G5" s="10" t="inlineStr">
        <is>
          <t>Seguimiento global</t>
        </is>
      </c>
    </row>
    <row r="6">
      <c r="B6" s="13" t="inlineStr">
        <is>
          <t>Módulos en progreso</t>
        </is>
      </c>
      <c r="C6" s="14" t="n">
        <v>5</v>
      </c>
      <c r="D6" s="14">
        <f>Módulos!D3</f>
        <v/>
      </c>
      <c r="E6" s="15">
        <f>C6/B6</f>
        <v/>
      </c>
      <c r="F6" s="14">
        <f>IF(D6&gt;=0.5,"Ámbar","Rojo")</f>
        <v/>
      </c>
      <c r="G6" s="13" t="inlineStr">
        <is>
          <t>Carga activa</t>
        </is>
      </c>
    </row>
    <row r="7">
      <c r="B7" s="10" t="inlineStr">
        <is>
          <t>Porcentaje total</t>
        </is>
      </c>
      <c r="C7" s="11" t="n">
        <v>1</v>
      </c>
      <c r="D7" s="11">
        <f>Módulos!E3</f>
        <v/>
      </c>
      <c r="E7" s="12">
        <f>C7/B7</f>
        <v/>
      </c>
      <c r="F7" s="11">
        <f>IF(D7&gt;=0.8,"Verde",IF(D7&gt;=0.5,"Ámbar","Rojo"))</f>
        <v/>
      </c>
      <c r="G7" s="10" t="inlineStr">
        <is>
          <t>Cumplimiento total</t>
        </is>
      </c>
    </row>
    <row r="8">
      <c r="B8" s="13" t="inlineStr">
        <is>
          <t>Créditos estimados</t>
        </is>
      </c>
      <c r="C8" s="14" t="n">
        <v>100</v>
      </c>
      <c r="D8" s="14">
        <f>SUM(H6:H25)</f>
        <v/>
      </c>
      <c r="E8" s="15">
        <f>C8/B8</f>
        <v/>
      </c>
      <c r="F8" s="14">
        <f>IF(D8&gt;=0.8,"Verde",IF(D8&gt;=0.5,"Ámbar","Rojo"))</f>
        <v/>
      </c>
      <c r="G8" s="13" t="inlineStr">
        <is>
          <t>Plan completo</t>
        </is>
      </c>
    </row>
    <row r="9"/>
    <row r="10"/>
    <row r="11">
      <c r="B11" s="9" t="inlineStr">
        <is>
          <t>Fase</t>
        </is>
      </c>
      <c r="C11" s="9" t="inlineStr">
        <is>
          <t>Total módulos</t>
        </is>
      </c>
      <c r="D11" s="9" t="inlineStr">
        <is>
          <t>Completados</t>
        </is>
      </c>
      <c r="E11" s="9" t="inlineStr">
        <is>
          <t>% avance</t>
        </is>
      </c>
    </row>
    <row r="12">
      <c r="B12" s="11" t="inlineStr">
        <is>
          <t>Fase 1</t>
        </is>
      </c>
      <c r="C12" s="11" t="n">
        <v>5</v>
      </c>
      <c r="D12" s="11">
        <f>COUNTIFS(Módulos!D6:D25,"Fase 1",Módulos!F6:F25,"Completado")</f>
        <v/>
      </c>
      <c r="E12" s="12">
        <f>C12/B12</f>
        <v/>
      </c>
    </row>
    <row r="13">
      <c r="B13" s="14" t="inlineStr">
        <is>
          <t>Fase 2</t>
        </is>
      </c>
      <c r="C13" s="14" t="n">
        <v>4</v>
      </c>
      <c r="D13" s="14">
        <f>COUNTIFS(Módulos!D6:D25,"Fase 2",Módulos!F6:F25,"Completado")</f>
        <v/>
      </c>
      <c r="E13" s="15">
        <f>C13/B13</f>
        <v/>
      </c>
    </row>
    <row r="14">
      <c r="B14" s="11" t="inlineStr">
        <is>
          <t>Fase 3</t>
        </is>
      </c>
      <c r="C14" s="11" t="n">
        <v>5</v>
      </c>
      <c r="D14" s="11">
        <f>COUNTIFS(Módulos!D6:D25,"Fase 3",Módulos!F6:F25,"Completado")</f>
        <v/>
      </c>
      <c r="E14" s="12">
        <f>C14/B14</f>
        <v/>
      </c>
    </row>
    <row r="15">
      <c r="B15" s="14" t="inlineStr">
        <is>
          <t>Fase 4</t>
        </is>
      </c>
      <c r="C15" s="14" t="n">
        <v>5</v>
      </c>
      <c r="D15" s="14">
        <f>COUNTIFS(Módulos!D6:D25,"Fase 4",Módulos!F6:F25,"Completado")</f>
        <v/>
      </c>
      <c r="E15" s="15">
        <f>C15/B15</f>
        <v/>
      </c>
    </row>
    <row r="16">
      <c r="B16" s="11" t="inlineStr">
        <is>
          <t>Fase 5</t>
        </is>
      </c>
      <c r="C16" s="11" t="n">
        <v>1</v>
      </c>
      <c r="D16" s="11">
        <f>COUNTIFS(Módulos!D6:D25,"Fase 5",Módulos!F6:F25,"Completado")</f>
        <v/>
      </c>
      <c r="E16" s="12">
        <f>C16/B16</f>
        <v/>
      </c>
    </row>
  </sheetData>
  <mergeCells count="1">
    <mergeCell ref="B2:G2"/>
  </mergeCells>
  <conditionalFormatting sqref="F5:F8">
    <cfRule type="expression" priority="1" dxfId="0">
      <formula>$F5="Verde"</formula>
    </cfRule>
    <cfRule type="expression" priority="2" dxfId="1">
      <formula>$F5="Ámbar"</formula>
    </cfRule>
    <cfRule type="expression" priority="3" dxfId="2">
      <formula>$F5="Rojo"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8" customWidth="1" min="3" max="3"/>
    <col width="20" customWidth="1" min="4" max="4"/>
    <col width="14" customWidth="1" min="5" max="5"/>
    <col width="14" customWidth="1" min="6" max="6"/>
    <col width="18" customWidth="1" min="7" max="7"/>
  </cols>
  <sheetData>
    <row r="1"/>
    <row r="2">
      <c r="B2" s="20" t="inlineStr">
        <is>
          <t>Checklists de módulos</t>
        </is>
      </c>
    </row>
    <row r="3"/>
    <row r="4">
      <c r="B4" s="3" t="inlineStr">
        <is>
          <t>Módulo</t>
        </is>
      </c>
      <c r="C4" s="3" t="inlineStr">
        <is>
          <t>Tarea</t>
        </is>
      </c>
      <c r="D4" s="3" t="inlineStr">
        <is>
          <t>Responsable/Owner</t>
        </is>
      </c>
      <c r="E4" s="3" t="inlineStr">
        <is>
          <t>Fecha</t>
        </is>
      </c>
      <c r="F4" s="3" t="inlineStr">
        <is>
          <t>Estado</t>
        </is>
      </c>
      <c r="G4" s="3" t="inlineStr">
        <is>
          <t>Notas</t>
        </is>
      </c>
    </row>
    <row r="5">
      <c r="B5" s="11" t="inlineStr">
        <is>
          <t>M1</t>
        </is>
      </c>
      <c r="C5" s="10" t="inlineStr">
        <is>
          <t>Instalar entorno Python</t>
        </is>
      </c>
      <c r="D5" s="10" t="inlineStr">
        <is>
          <t>Alumno</t>
        </is>
      </c>
      <c r="E5" s="11" t="inlineStr">
        <is>
          <t>07/04/2026</t>
        </is>
      </c>
      <c r="F5" s="11" t="inlineStr">
        <is>
          <t>Hecho</t>
        </is>
      </c>
      <c r="G5" s="10" t="inlineStr">
        <is>
          <t>Base completada</t>
        </is>
      </c>
    </row>
    <row r="6">
      <c r="B6" s="14" t="inlineStr">
        <is>
          <t>M1</t>
        </is>
      </c>
      <c r="C6" s="13" t="inlineStr">
        <is>
          <t>Repasar sintaxis y funciones</t>
        </is>
      </c>
      <c r="D6" s="13" t="inlineStr">
        <is>
          <t>Alumno</t>
        </is>
      </c>
      <c r="E6" s="14" t="inlineStr">
        <is>
          <t>09/04/2026</t>
        </is>
      </c>
      <c r="F6" s="14" t="inlineStr">
        <is>
          <t>Hecho</t>
        </is>
      </c>
      <c r="G6" s="13" t="inlineStr"/>
    </row>
    <row r="7">
      <c r="B7" s="11" t="inlineStr">
        <is>
          <t>M2</t>
        </is>
      </c>
      <c r="C7" s="10" t="inlineStr">
        <is>
          <t>Estudiar estadística descriptiva</t>
        </is>
      </c>
      <c r="D7" s="10" t="inlineStr">
        <is>
          <t>Alumno</t>
        </is>
      </c>
      <c r="E7" s="11" t="inlineStr">
        <is>
          <t>18/04/2026</t>
        </is>
      </c>
      <c r="F7" s="11" t="inlineStr">
        <is>
          <t>Hecho</t>
        </is>
      </c>
      <c r="G7" s="10" t="inlineStr"/>
    </row>
    <row r="8">
      <c r="B8" s="14" t="inlineStr">
        <is>
          <t>M3</t>
        </is>
      </c>
      <c r="C8" s="13" t="inlineStr">
        <is>
          <t>Limpieza de datos con pandas</t>
        </is>
      </c>
      <c r="D8" s="13" t="inlineStr">
        <is>
          <t>Alumno</t>
        </is>
      </c>
      <c r="E8" s="14" t="inlineStr">
        <is>
          <t>30/04/2026</t>
        </is>
      </c>
      <c r="F8" s="14" t="inlineStr">
        <is>
          <t>En progreso</t>
        </is>
      </c>
      <c r="G8" s="13" t="inlineStr">
        <is>
          <t>Práctica activa</t>
        </is>
      </c>
    </row>
    <row r="9">
      <c r="B9" s="11" t="inlineStr">
        <is>
          <t>M3</t>
        </is>
      </c>
      <c r="C9" s="10" t="inlineStr">
        <is>
          <t>Join, merge y groupby</t>
        </is>
      </c>
      <c r="D9" s="10" t="inlineStr">
        <is>
          <t>Alumno</t>
        </is>
      </c>
      <c r="E9" s="11" t="inlineStr">
        <is>
          <t>02/05/2026</t>
        </is>
      </c>
      <c r="F9" s="11" t="inlineStr">
        <is>
          <t>En progreso</t>
        </is>
      </c>
      <c r="G9" s="10" t="inlineStr"/>
    </row>
    <row r="10">
      <c r="B10" s="14" t="inlineStr">
        <is>
          <t>M4</t>
        </is>
      </c>
      <c r="C10" s="13" t="inlineStr">
        <is>
          <t>Consultas SQL básicas</t>
        </is>
      </c>
      <c r="D10" s="13" t="inlineStr">
        <is>
          <t>Alumno</t>
        </is>
      </c>
      <c r="E10" s="14" t="inlineStr">
        <is>
          <t>12/05/2026</t>
        </is>
      </c>
      <c r="F10" s="14" t="inlineStr">
        <is>
          <t>Pendiente</t>
        </is>
      </c>
      <c r="G10" s="13" t="inlineStr"/>
    </row>
    <row r="11">
      <c r="B11" s="11" t="inlineStr">
        <is>
          <t>M5</t>
        </is>
      </c>
      <c r="C11" s="10" t="inlineStr">
        <is>
          <t>Visualizaciones con Python</t>
        </is>
      </c>
      <c r="D11" s="10" t="inlineStr">
        <is>
          <t>Alumno</t>
        </is>
      </c>
      <c r="E11" s="11" t="inlineStr">
        <is>
          <t>22/05/2026</t>
        </is>
      </c>
      <c r="F11" s="11" t="inlineStr">
        <is>
          <t>Pendiente</t>
        </is>
      </c>
      <c r="G11" s="10" t="inlineStr"/>
    </row>
    <row r="12">
      <c r="B12" s="14" t="inlineStr">
        <is>
          <t>M6</t>
        </is>
      </c>
      <c r="C12" s="13" t="inlineStr">
        <is>
          <t>Dashboard en Power BI</t>
        </is>
      </c>
      <c r="D12" s="13" t="inlineStr">
        <is>
          <t>Alumno</t>
        </is>
      </c>
      <c r="E12" s="14" t="inlineStr">
        <is>
          <t>05/06/2026</t>
        </is>
      </c>
      <c r="F12" s="14" t="inlineStr">
        <is>
          <t>Pendiente</t>
        </is>
      </c>
      <c r="G12" s="13" t="inlineStr"/>
    </row>
    <row r="13">
      <c r="B13" s="11" t="inlineStr">
        <is>
          <t>M10</t>
        </is>
      </c>
      <c r="C13" s="10" t="inlineStr">
        <is>
          <t>Modelo ML supervisado</t>
        </is>
      </c>
      <c r="D13" s="10" t="inlineStr">
        <is>
          <t>Alumno</t>
        </is>
      </c>
      <c r="E13" s="11" t="inlineStr">
        <is>
          <t>15/07/2026</t>
        </is>
      </c>
      <c r="F13" s="11" t="inlineStr">
        <is>
          <t>Pendiente</t>
        </is>
      </c>
      <c r="G13" s="10" t="inlineStr"/>
    </row>
    <row r="14">
      <c r="B14" s="14" t="inlineStr">
        <is>
          <t>M16</t>
        </is>
      </c>
      <c r="C14" s="13" t="inlineStr">
        <is>
          <t>Caso de fraude con ML</t>
        </is>
      </c>
      <c r="D14" s="13" t="inlineStr">
        <is>
          <t>Alumno</t>
        </is>
      </c>
      <c r="E14" s="14" t="inlineStr">
        <is>
          <t>12/09/2026</t>
        </is>
      </c>
      <c r="F14" s="14" t="inlineStr">
        <is>
          <t>Pendiente</t>
        </is>
      </c>
      <c r="G14" s="13" t="inlineStr"/>
    </row>
    <row r="15">
      <c r="B15" s="11" t="inlineStr">
        <is>
          <t>M20</t>
        </is>
      </c>
      <c r="C15" s="10" t="inlineStr">
        <is>
          <t>Proyecto final AML + AI</t>
        </is>
      </c>
      <c r="D15" s="10" t="inlineStr">
        <is>
          <t>Alumno</t>
        </is>
      </c>
      <c r="E15" s="11" t="inlineStr">
        <is>
          <t>20/10/2026</t>
        </is>
      </c>
      <c r="F15" s="11" t="inlineStr">
        <is>
          <t>Pendiente</t>
        </is>
      </c>
      <c r="G15" s="10" t="inlineStr"/>
    </row>
  </sheetData>
  <mergeCells count="1">
    <mergeCell ref="B2:G2"/>
  </mergeCells>
  <conditionalFormatting sqref="F5:F15">
    <cfRule type="expression" priority="1" dxfId="0">
      <formula>$F5="Hecho"</formula>
    </cfRule>
    <cfRule type="expression" priority="2" dxfId="1">
      <formula>$F5="En progreso"</formula>
    </cfRule>
    <cfRule type="expression" priority="3" dxfId="2">
      <formula>$F5="Pendiente"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20" customWidth="1" min="4" max="4"/>
    <col width="18" customWidth="1" min="5" max="5"/>
  </cols>
  <sheetData>
    <row r="1"/>
    <row r="2">
      <c r="B2" s="20" t="inlineStr">
        <is>
          <t>Recursos recomendados</t>
        </is>
      </c>
    </row>
    <row r="3"/>
    <row r="4">
      <c r="B4" s="3" t="inlineStr">
        <is>
          <t>Área</t>
        </is>
      </c>
      <c r="C4" s="3" t="inlineStr">
        <is>
          <t>Recurso</t>
        </is>
      </c>
      <c r="D4" s="3" t="inlineStr">
        <is>
          <t>Tipo</t>
        </is>
      </c>
      <c r="E4" s="3" t="inlineStr">
        <is>
          <t>Uso</t>
        </is>
      </c>
    </row>
    <row r="5">
      <c r="B5" s="10" t="inlineStr">
        <is>
          <t>Python</t>
        </is>
      </c>
      <c r="C5" s="10" t="inlineStr">
        <is>
          <t>Python Docs</t>
        </is>
      </c>
      <c r="D5" s="11" t="inlineStr">
        <is>
          <t>Documentación</t>
        </is>
      </c>
      <c r="E5" s="10" t="inlineStr">
        <is>
          <t>Sintaxis y librerías</t>
        </is>
      </c>
    </row>
    <row r="6">
      <c r="B6" s="13" t="inlineStr">
        <is>
          <t>Pandas</t>
        </is>
      </c>
      <c r="C6" s="13" t="inlineStr">
        <is>
          <t>Pandas Documentation</t>
        </is>
      </c>
      <c r="D6" s="14" t="inlineStr">
        <is>
          <t>Documentación</t>
        </is>
      </c>
      <c r="E6" s="13" t="inlineStr">
        <is>
          <t>Manipulación de datos</t>
        </is>
      </c>
    </row>
    <row r="7">
      <c r="B7" s="10" t="inlineStr">
        <is>
          <t>SQL</t>
        </is>
      </c>
      <c r="C7" s="10" t="inlineStr">
        <is>
          <t>SQLZoo / Mode</t>
        </is>
      </c>
      <c r="D7" s="11" t="inlineStr">
        <is>
          <t>Práctica</t>
        </is>
      </c>
      <c r="E7" s="10" t="inlineStr">
        <is>
          <t>Queries y joins</t>
        </is>
      </c>
    </row>
    <row r="8">
      <c r="B8" s="13" t="inlineStr">
        <is>
          <t>Visualización</t>
        </is>
      </c>
      <c r="C8" s="13" t="inlineStr">
        <is>
          <t>Plotly / Matplotlib</t>
        </is>
      </c>
      <c r="D8" s="14" t="inlineStr">
        <is>
          <t>Referencia</t>
        </is>
      </c>
      <c r="E8" s="13" t="inlineStr">
        <is>
          <t>Dashboards y gráficos</t>
        </is>
      </c>
    </row>
    <row r="9">
      <c r="B9" s="10" t="inlineStr">
        <is>
          <t>ML</t>
        </is>
      </c>
      <c r="C9" s="10" t="inlineStr">
        <is>
          <t>Scikit-learn</t>
        </is>
      </c>
      <c r="D9" s="11" t="inlineStr">
        <is>
          <t>Documentación</t>
        </is>
      </c>
      <c r="E9" s="10" t="inlineStr">
        <is>
          <t>Modelos supervisados</t>
        </is>
      </c>
    </row>
    <row r="10">
      <c r="B10" s="13" t="inlineStr">
        <is>
          <t>Fraud</t>
        </is>
      </c>
      <c r="C10" s="13" t="inlineStr">
        <is>
          <t>Kaggle datasets</t>
        </is>
      </c>
      <c r="D10" s="14" t="inlineStr">
        <is>
          <t>Dataset</t>
        </is>
      </c>
      <c r="E10" s="13" t="inlineStr">
        <is>
          <t>Casos reales de fraude</t>
        </is>
      </c>
    </row>
    <row r="11">
      <c r="B11" s="10" t="inlineStr">
        <is>
          <t>AI</t>
        </is>
      </c>
      <c r="C11" s="10" t="inlineStr">
        <is>
          <t>Google AI Studio</t>
        </is>
      </c>
      <c r="D11" s="11" t="inlineStr">
        <is>
          <t>Plataforma</t>
        </is>
      </c>
      <c r="E11" s="10" t="inlineStr">
        <is>
          <t>Prototipos con LLMs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2026-04-01T17:18:48Z</dcterms:created>
  <dcterms:modified xmlns:dcterms="http://purl.org/dc/terms/" xmlns:xsi="http://www.w3.org/2001/XMLSchema-instance" xsi:type="dcterms:W3CDTF">2026-04-01T17:18:48Z</dcterms:modified>
</cp:coreProperties>
</file>